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CASE REPORT" sheetId="1" r:id="rId1"/>
    <sheet name="REKAP" sheetId="2" r:id="rId2"/>
    <sheet name="PETUNJUK" sheetId="3" r:id="rId3"/>
  </sheets>
  <definedNames>
    <definedName name="_xlnm._FilterDatabase" localSheetId="0" hidden="1">'CASE REPORT'!$A$4:$J$204</definedName>
    <definedName name="_xlnm._FilterDatabase" localSheetId="0" hidden="1">'CASE REPORT'!$A$4:$J$204</definedName>
    <definedName name="_xlnm._FilterDatabase" localSheetId="0" hidden="1">'CASE REPORT'!$A$4:$J$204</definedName>
  </definedNames>
  <calcPr fullCalcOnLoad="1" calcId="124519"/>
</workbook>
</file>

<file path=xl/sharedStrings.xml><?xml version="1.0" encoding="utf-8"?>
<sst xmlns="http://schemas.openxmlformats.org/spreadsheetml/2006/main" uniqueCount="121" count="121">
  <si>
    <t>TECHNICAL SUPPORT — CASE REPORT</t>
  </si>
  <si>
    <t>1 case = 1 baris | Isi singkat setelah case selesai</t>
  </si>
  <si>
    <t>Tanggal</t>
  </si>
  <si>
    <t>Technical Support</t>
  </si>
  <si>
    <t>Rumah Sakit</t>
  </si>
  <si>
    <t>Dokter</t>
  </si>
  <si>
    <t>Case</t>
  </si>
  <si>
    <t>Produk / Implant</t>
  </si>
  <si>
    <t>Status Case</t>
  </si>
  <si>
    <t>Kendala</t>
  </si>
  <si>
    <t>Tindakan</t>
  </si>
  <si>
    <t>Follow-up</t>
  </si>
  <si>
    <t>CARA PENGISIAN</t>
  </si>
  <si>
    <t>1. Satu case = satu baris.</t>
  </si>
  <si>
    <t>2. Isi setelah case selesai.</t>
  </si>
  <si>
    <t>3. Status Case pilih: Sukses / Ada Kendala.</t>
  </si>
  <si>
    <t>4. Jika tidak ada kendala, tulis '-' pada Kendala, Tindakan, dan Follow-up.</t>
  </si>
  <si>
    <t>5. Gunakan sheet REKAP untuk melihat jumlah case per Technical Support.</t>
  </si>
  <si>
    <t>REKAP CASE TECHNICAL SUPPORT</t>
  </si>
  <si>
    <t>Total Case</t>
  </si>
  <si>
    <t>Sukses</t>
  </si>
  <si>
    <t>Ada Kendala</t>
  </si>
  <si>
    <t>TS 01</t>
  </si>
  <si>
    <t>TS 02</t>
  </si>
  <si>
    <t>TS 03</t>
  </si>
  <si>
    <t>TS 04</t>
  </si>
  <si>
    <t>TS 05</t>
  </si>
  <si>
    <t>TS 06</t>
  </si>
  <si>
    <t>TS 07</t>
  </si>
  <si>
    <t>TS 08</t>
  </si>
  <si>
    <t>TS 09</t>
  </si>
  <si>
    <t>TS 10</t>
  </si>
  <si>
    <t>Andri</t>
  </si>
  <si>
    <t>Mitra Kelapa Gading</t>
  </si>
  <si>
    <t>Dr.Wendy</t>
  </si>
  <si>
    <t>TKR ROSA</t>
  </si>
  <si>
    <t>Nexgen</t>
  </si>
  <si>
    <t>Powertool Ruijin kekurangan Power</t>
  </si>
  <si>
    <t xml:space="preserve">Powertool Ruijin kekurangan Power </t>
  </si>
  <si>
    <t xml:space="preserve">Tindakan </t>
  </si>
  <si>
    <t>Saat operasi di ganti dengan Bor RS</t>
  </si>
  <si>
    <t>Andri/Dunna</t>
  </si>
  <si>
    <t>Widho</t>
  </si>
  <si>
    <t>Kanujoso</t>
  </si>
  <si>
    <t>Dr.Hendra</t>
  </si>
  <si>
    <t>TKR Nm</t>
  </si>
  <si>
    <t>Nm</t>
  </si>
  <si>
    <t>Tim B3 Tidak menyeterilkan instrumen H-1</t>
  </si>
  <si>
    <t>Tim B3 Tidak menyeterilkan instrumen H-1 Operasi hampir batal</t>
  </si>
  <si>
    <t>Koordinasi dengan B3 untuk ditindak lanjuti</t>
  </si>
  <si>
    <t>Cust tidak ada komplain</t>
  </si>
  <si>
    <t>Komplain Bor</t>
  </si>
  <si>
    <t>01-okt-2026</t>
  </si>
  <si>
    <t>01-Okt-2026</t>
  </si>
  <si>
    <t>Yudi</t>
  </si>
  <si>
    <t>Primaya Kelapa Gading</t>
  </si>
  <si>
    <t>Dr. Satria</t>
  </si>
  <si>
    <t>Bipolar</t>
  </si>
  <si>
    <t>Ringloc</t>
  </si>
  <si>
    <t>Tidak ada Kendala</t>
  </si>
  <si>
    <t>Laporan dari TS</t>
  </si>
  <si>
    <t>Laporan dari TS dan masukan Cust</t>
  </si>
  <si>
    <t>Operasi berjalan lancar mampu berdiskusi dengan user sebelum,saat operasi tentang planning potongan tulang</t>
  </si>
  <si>
    <t>Tingkatkan lagi untuk Followup hasil operasi dengan Cust</t>
  </si>
  <si>
    <t>Lakukan F/U ke cust</t>
  </si>
  <si>
    <t>Asman</t>
  </si>
  <si>
    <t>Ozan/Dunna</t>
  </si>
  <si>
    <t>Mitra Kemayoran</t>
  </si>
  <si>
    <t>Dr.Roy</t>
  </si>
  <si>
    <t>Tidak ada kendala</t>
  </si>
  <si>
    <t>Operasi berjalan sesuai dengan Planning</t>
  </si>
  <si>
    <t>Tingkatkan diskusi Preop</t>
  </si>
  <si>
    <t>F/U hasil setelah tindakan</t>
  </si>
  <si>
    <t>Asman/Yudi</t>
  </si>
  <si>
    <t>Siaga Raya</t>
  </si>
  <si>
    <t>dr.Sofyan</t>
  </si>
  <si>
    <t>TKR</t>
  </si>
  <si>
    <t xml:space="preserve">dr.Sofyan minggu lalu menanyakan hari apa saja saya yang bisa bantu beliau </t>
  </si>
  <si>
    <t>dr.Sofyan Minta Asman harus hadir</t>
  </si>
  <si>
    <t>dr.Sofyan minggu lalu telpon</t>
  </si>
  <si>
    <t>dr.Sofyan minggu lalu telpon tanya hari apa saja Asman yang kosong</t>
  </si>
  <si>
    <t xml:space="preserve">dr.Sofyan Minta Asman harus hadir </t>
  </si>
  <si>
    <t>Foto terlampir di Timetree dikirim langsung dr.Sofyan beliau puas</t>
  </si>
  <si>
    <t>Ozan</t>
  </si>
  <si>
    <t>Yudit</t>
  </si>
  <si>
    <t>Hendra</t>
  </si>
  <si>
    <t>Herlambang</t>
  </si>
  <si>
    <t>Rifky</t>
  </si>
  <si>
    <t>Syahrul</t>
  </si>
  <si>
    <t>Sasongko</t>
  </si>
  <si>
    <t>Toyib</t>
  </si>
  <si>
    <t>Nato</t>
  </si>
  <si>
    <t>Beni</t>
  </si>
  <si>
    <t>Dunna</t>
  </si>
  <si>
    <t>Perbaikan</t>
  </si>
  <si>
    <t>Pengecekan Powertool Di tingkatkan</t>
  </si>
  <si>
    <t>Pengecekan Powertool sebelum dikirimDi tingkatkan</t>
  </si>
  <si>
    <t>Pengecekan Powertool sebelum dikirim</t>
  </si>
  <si>
    <t>Evaluasi kerja sama dengan B3</t>
  </si>
  <si>
    <t>Evaluasi kerja sama dengan B3 utk pengiriman instrmen</t>
  </si>
  <si>
    <t>Komunikasi ditingkatkan</t>
  </si>
  <si>
    <t>Komunikasu ditingkatkan</t>
  </si>
  <si>
    <t>Tingkatkan antara Trust Cust dengan TS</t>
  </si>
  <si>
    <t>Yudit/Syahrul</t>
  </si>
  <si>
    <t>Mandaya Puri</t>
  </si>
  <si>
    <t>dr.Paulus</t>
  </si>
  <si>
    <t>Ganti Insert</t>
  </si>
  <si>
    <t>TKR Persona</t>
  </si>
  <si>
    <t>Kekurangan Instrumen Trail Insert</t>
  </si>
  <si>
    <t xml:space="preserve">Kekurangan Instrumen Trail Insert </t>
  </si>
  <si>
    <t>Instrumen disusul dari kantor dan menunggu steril 30 mnt</t>
  </si>
  <si>
    <t>Kurang nya persiapan Instrumen</t>
  </si>
  <si>
    <t>Tingkatkan persiapan Instrumen sebelum dikirim</t>
  </si>
  <si>
    <t>RSSA Malang</t>
  </si>
  <si>
    <t>dr.Huzdalifah</t>
  </si>
  <si>
    <t>Multipolar</t>
  </si>
  <si>
    <t xml:space="preserve">Cement Syringe menggunakan Spuid </t>
  </si>
  <si>
    <t>Sebelum ada komplain di masukkan MOU syringekit dengan RSSA</t>
  </si>
  <si>
    <t>Cu</t>
  </si>
  <si>
    <t>Cust tidak ada Komplain</t>
  </si>
  <si>
    <t>Proses Syringekit di RSSA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</si>
</sst>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dd/mm/yyyy"/>
  </numFmts>
  <fonts count="9">
    <font>
      <name val="Calibri"/>
      <sz val="11"/>
    </font>
    <font>
      <name val="Calibri"/>
      <b/>
      <sz val="16"/>
      <color rgb="FFFFFFFF"/>
    </font>
    <font>
      <name val="Calibri"/>
      <i/>
      <sz val="11"/>
      <color rgb="FF666666"/>
    </font>
    <font>
      <name val="Calibri"/>
      <sz val="11"/>
    </font>
    <font>
      <name val="Calibri"/>
      <b/>
      <sz val="11"/>
      <color rgb="FFFFFFFF"/>
    </font>
    <font>
      <name val="Calibri"/>
      <sz val="11"/>
      <color rgb="FFFFE5E5"/>
    </font>
    <font>
      <name val="Calibri"/>
      <sz val="11"/>
      <color rgb="FF000000"/>
    </font>
    <font>
      <name val="Calibri"/>
      <sz val="11"/>
    </font>
    <font>
      <name val="Calibri"/>
      <b/>
      <sz val="15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8363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Border="1" applyAlignment="1">
      <alignment horizontal="center" vertical="bottom"/>
    </xf>
    <xf numFmtId="0" fontId="2" fillId="0" borderId="1" xfId="0" applyBorder="1" applyAlignment="1">
      <alignment horizontal="center" vertical="bottom"/>
    </xf>
    <xf numFmtId="0" fontId="3" fillId="0" borderId="1" xfId="0" applyBorder="1">
      <alignment vertical="center"/>
    </xf>
    <xf numFmtId="0" fontId="4" fillId="2" borderId="1" xfId="0" applyBorder="1" applyAlignment="1">
      <alignment horizontal="center" vertical="center" wrapText="1"/>
    </xf>
    <xf numFmtId="0" fontId="4" fillId="2" borderId="2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4" fontId="6" fillId="0" borderId="1" xfId="0" applyBorder="1" applyAlignment="1">
      <alignment vertical="top" wrapText="1"/>
    </xf>
    <xf numFmtId="0" fontId="6" fillId="0" borderId="1" xfId="0" applyBorder="1" applyAlignment="1">
      <alignment vertical="top" wrapText="1"/>
    </xf>
    <xf numFmtId="0" fontId="6" fillId="0" borderId="2" xfId="0" applyBorder="1" applyAlignment="1">
      <alignment vertical="top" wrapText="1"/>
    </xf>
    <xf numFmtId="0" fontId="0" fillId="0" borderId="1" xfId="0" applyBorder="1">
      <alignment vertical="center"/>
    </xf>
    <xf numFmtId="164" fontId="6" fillId="0" borderId="3" xfId="0" applyBorder="1" applyAlignment="1">
      <alignment vertical="top" wrapText="1"/>
    </xf>
    <xf numFmtId="0" fontId="6" fillId="0" borderId="3" xfId="0" applyBorder="1" applyAlignment="1">
      <alignment vertical="top" wrapText="1"/>
    </xf>
    <xf numFmtId="164" fontId="6" fillId="0" borderId="3" xfId="0" applyAlignment="1">
      <alignment vertical="top" wrapText="1"/>
    </xf>
    <xf numFmtId="0" fontId="6" fillId="0" borderId="3" xfId="0" applyAlignment="1">
      <alignment vertical="top" wrapText="1"/>
    </xf>
    <xf numFmtId="0" fontId="1" fillId="2" borderId="1" xfId="0" applyBorder="1" applyAlignment="1">
      <alignment horizontal="center" vertical="bottom"/>
    </xf>
    <xf numFmtId="0" fontId="7" fillId="0" borderId="1" xfId="0" applyBorder="1">
      <alignment vertical="center"/>
    </xf>
    <xf numFmtId="0" fontId="4" fillId="2" borderId="1" xfId="0" applyBorder="1" applyAlignment="1">
      <alignment horizontal="center" vertical="bottom"/>
    </xf>
    <xf numFmtId="0" fontId="8" fillId="2" borderId="0" xfId="0" applyAlignment="1">
      <alignment vertical="bottom"/>
    </xf>
    <xf numFmtId="0" fontId="6" fillId="0" borderId="0" xfId="0" applyAlignment="1">
      <alignment vertical="bottom" wrapText="1"/>
    </xf>
  </cellXfs>
  <cellStyles count="1">
    <cellStyle name="常规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04"/>
  <sheetViews>
    <sheetView workbookViewId="0" zoomScale="30">
      <pane ySplit="4" topLeftCell="A5" state="frozen" activePane="bottomLeft"/>
      <selection pane="bottomLeft" activeCell="J15" sqref="J15"/>
    </sheetView>
  </sheetViews>
  <sheetFormatPr defaultRowHeight="15.0" defaultColWidth="10"/>
  <cols>
    <col min="1" max="1" customWidth="1" width="14.0" style="0"/>
    <col min="2" max="2" customWidth="1" width="22.0" style="0"/>
    <col min="3" max="3" customWidth="1" width="25.0" style="0"/>
    <col min="4" max="4" customWidth="1" width="22.0" style="0"/>
    <col min="5" max="5" customWidth="1" width="16.0" style="0"/>
    <col min="6" max="6" customWidth="1" width="25.0" style="0"/>
    <col min="7" max="7" customWidth="1" width="18.0" style="0"/>
    <col min="8" max="8" customWidth="1" width="38.296875" style="0"/>
    <col min="9" max="9" customWidth="1" width="30.0" style="0"/>
    <col min="10" max="10" customWidth="1" width="30.0" style="0"/>
    <col min="11" max="11" customWidth="1" width="45.796875" style="0"/>
  </cols>
  <sheetData>
    <row r="1" spans="8:8">
      <c r="A1" s="1" t="s">
        <v>0</v>
      </c>
    </row>
    <row r="2" spans="8:8">
      <c r="A2" s="2"/>
      <c r="B2" s="3"/>
      <c r="C2" s="3"/>
      <c r="D2" s="3"/>
      <c r="E2" s="3"/>
      <c r="F2" s="3"/>
      <c r="G2" s="3"/>
      <c r="H2" s="3"/>
      <c r="I2" s="3"/>
      <c r="J2" s="3"/>
    </row>
    <row r="3" spans="8:8">
      <c r="A3" s="3"/>
      <c r="B3" s="3"/>
      <c r="C3" s="3"/>
      <c r="D3" s="3"/>
      <c r="E3" s="3"/>
      <c r="F3" s="3"/>
      <c r="G3" s="3"/>
      <c r="H3" s="3"/>
      <c r="I3" s="3"/>
      <c r="J3" s="3"/>
    </row>
    <row r="4" spans="8:8" ht="32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61</v>
      </c>
      <c r="I4" s="4" t="s">
        <v>39</v>
      </c>
      <c r="J4" s="5" t="s">
        <v>11</v>
      </c>
      <c r="K4" s="6" t="s">
        <v>94</v>
      </c>
    </row>
    <row r="5" spans="8:8" ht="15.4">
      <c r="A5" s="7" t="s">
        <v>53</v>
      </c>
      <c r="B5" s="8" t="s">
        <v>41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21</v>
      </c>
      <c r="H5" s="8" t="s">
        <v>38</v>
      </c>
      <c r="I5" s="8" t="s">
        <v>40</v>
      </c>
      <c r="J5" s="9" t="s">
        <v>51</v>
      </c>
      <c r="K5" s="10" t="s">
        <v>97</v>
      </c>
    </row>
    <row r="6" spans="8:8" ht="30.85">
      <c r="A6" s="7" t="s">
        <v>53</v>
      </c>
      <c r="B6" s="8" t="s">
        <v>42</v>
      </c>
      <c r="C6" s="8" t="s">
        <v>43</v>
      </c>
      <c r="D6" s="8" t="s">
        <v>44</v>
      </c>
      <c r="E6" s="8" t="s">
        <v>45</v>
      </c>
      <c r="F6" s="8" t="s">
        <v>46</v>
      </c>
      <c r="G6" s="8" t="s">
        <v>21</v>
      </c>
      <c r="H6" s="8" t="s">
        <v>48</v>
      </c>
      <c r="I6" s="8" t="s">
        <v>49</v>
      </c>
      <c r="J6" s="9" t="s">
        <v>50</v>
      </c>
      <c r="K6" s="10" t="s">
        <v>99</v>
      </c>
    </row>
    <row r="7" spans="8:8" ht="46.25">
      <c r="A7" s="7" t="s">
        <v>53</v>
      </c>
      <c r="B7" s="8" t="s">
        <v>54</v>
      </c>
      <c r="C7" s="8" t="s">
        <v>55</v>
      </c>
      <c r="D7" s="8" t="s">
        <v>56</v>
      </c>
      <c r="E7" s="8" t="s">
        <v>57</v>
      </c>
      <c r="F7" s="8" t="s">
        <v>58</v>
      </c>
      <c r="G7" s="8" t="s">
        <v>20</v>
      </c>
      <c r="H7" s="8" t="s">
        <v>62</v>
      </c>
      <c r="I7" s="8" t="s">
        <v>63</v>
      </c>
      <c r="J7" s="9" t="s">
        <v>64</v>
      </c>
      <c r="K7" s="10" t="s">
        <v>100</v>
      </c>
    </row>
    <row r="8" spans="8:8" ht="15.4">
      <c r="A8" s="7" t="s">
        <v>53</v>
      </c>
      <c r="B8" s="8" t="s">
        <v>66</v>
      </c>
      <c r="C8" s="8" t="s">
        <v>67</v>
      </c>
      <c r="D8" s="8" t="s">
        <v>68</v>
      </c>
      <c r="E8" s="8" t="s">
        <v>57</v>
      </c>
      <c r="F8" s="8" t="s">
        <v>58</v>
      </c>
      <c r="G8" s="8" t="s">
        <v>20</v>
      </c>
      <c r="H8" s="8" t="s">
        <v>70</v>
      </c>
      <c r="I8" s="8" t="s">
        <v>71</v>
      </c>
      <c r="J8" s="9" t="s">
        <v>72</v>
      </c>
      <c r="K8" s="10" t="s">
        <v>101</v>
      </c>
    </row>
    <row r="9" spans="8:8" ht="30.85">
      <c r="A9" s="7" t="s">
        <v>53</v>
      </c>
      <c r="B9" s="8" t="s">
        <v>73</v>
      </c>
      <c r="C9" s="8" t="s">
        <v>74</v>
      </c>
      <c r="D9" s="8" t="s">
        <v>75</v>
      </c>
      <c r="E9" s="8" t="s">
        <v>76</v>
      </c>
      <c r="F9" s="8" t="s">
        <v>36</v>
      </c>
      <c r="G9" s="8" t="s">
        <v>20</v>
      </c>
      <c r="H9" s="8" t="s">
        <v>80</v>
      </c>
      <c r="I9" s="8" t="s">
        <v>81</v>
      </c>
      <c r="J9" s="9" t="s">
        <v>82</v>
      </c>
      <c r="K9" s="10" t="s">
        <v>102</v>
      </c>
    </row>
    <row r="10" spans="8:8" ht="30.85">
      <c r="A10" s="7" t="s">
        <v>53</v>
      </c>
      <c r="B10" s="8" t="s">
        <v>103</v>
      </c>
      <c r="C10" s="8" t="s">
        <v>104</v>
      </c>
      <c r="D10" s="8" t="s">
        <v>105</v>
      </c>
      <c r="E10" s="8" t="s">
        <v>106</v>
      </c>
      <c r="F10" s="8" t="s">
        <v>107</v>
      </c>
      <c r="G10" s="8" t="s">
        <v>21</v>
      </c>
      <c r="H10" s="8" t="s">
        <v>109</v>
      </c>
      <c r="I10" s="8" t="s">
        <v>110</v>
      </c>
      <c r="J10" s="9" t="s">
        <v>111</v>
      </c>
      <c r="K10" s="10" t="s">
        <v>112</v>
      </c>
    </row>
    <row r="11" spans="8:8" ht="30.85">
      <c r="A11" s="7" t="s">
        <v>53</v>
      </c>
      <c r="B11" s="8" t="s">
        <v>90</v>
      </c>
      <c r="C11" s="8" t="s">
        <v>113</v>
      </c>
      <c r="D11" s="8" t="s">
        <v>114</v>
      </c>
      <c r="E11" s="8" t="s">
        <v>57</v>
      </c>
      <c r="F11" s="8" t="s">
        <v>115</v>
      </c>
      <c r="G11" s="8" t="s">
        <v>20</v>
      </c>
      <c r="H11" s="8" t="s">
        <v>116</v>
      </c>
      <c r="I11" s="8" t="s">
        <v>117</v>
      </c>
      <c r="J11" s="9" t="s">
        <v>119</v>
      </c>
      <c r="K11" s="10" t="s">
        <v>120</v>
      </c>
    </row>
    <row r="12" spans="8:8">
      <c r="A12" s="7"/>
      <c r="B12" s="8"/>
      <c r="C12" s="8"/>
      <c r="D12" s="8"/>
      <c r="E12" s="8"/>
      <c r="F12" s="8"/>
      <c r="G12" s="8"/>
      <c r="H12" s="8"/>
      <c r="I12" s="8"/>
      <c r="J12" s="9"/>
      <c r="K12" s="10"/>
    </row>
    <row r="13" spans="8:8">
      <c r="A13" s="7"/>
      <c r="B13" s="8"/>
      <c r="C13" s="8"/>
      <c r="D13" s="8"/>
      <c r="E13" s="8"/>
      <c r="F13" s="8"/>
      <c r="G13" s="8"/>
      <c r="H13" s="8"/>
      <c r="I13" s="8"/>
      <c r="J13" s="9"/>
      <c r="K13" s="10"/>
    </row>
    <row r="14" spans="8:8">
      <c r="A14" s="7"/>
      <c r="B14" s="8"/>
      <c r="C14" s="8"/>
      <c r="D14" s="8"/>
      <c r="E14" s="8"/>
      <c r="F14" s="8"/>
      <c r="G14" s="8"/>
      <c r="H14" s="8"/>
      <c r="I14" s="8"/>
      <c r="J14" s="9"/>
      <c r="K14" s="10"/>
    </row>
    <row r="15" spans="8:8">
      <c r="A15" s="7"/>
      <c r="B15" s="8"/>
      <c r="C15" s="8"/>
      <c r="D15" s="8"/>
      <c r="E15" s="8"/>
      <c r="F15" s="8"/>
      <c r="G15" s="8"/>
      <c r="H15" s="8"/>
      <c r="I15" s="8"/>
      <c r="J15" s="9"/>
      <c r="K15" s="10"/>
    </row>
    <row r="16" spans="8:8">
      <c r="A16" s="7"/>
      <c r="B16" s="8"/>
      <c r="C16" s="8"/>
      <c r="D16" s="8"/>
      <c r="E16" s="8"/>
      <c r="F16" s="8"/>
      <c r="G16" s="8"/>
      <c r="H16" s="8"/>
      <c r="I16" s="8"/>
      <c r="J16" s="9"/>
      <c r="K16" s="10"/>
    </row>
    <row r="17" spans="8:8">
      <c r="A17" s="11"/>
      <c r="B17" s="12"/>
      <c r="C17" s="12"/>
      <c r="D17" s="12"/>
      <c r="E17" s="12"/>
      <c r="F17" s="12"/>
      <c r="G17" s="12"/>
      <c r="H17" s="12"/>
      <c r="I17" s="12"/>
      <c r="J17" s="12"/>
    </row>
    <row r="18" spans="8:8" ht="18.7">
      <c r="A18" s="13"/>
      <c r="B18" s="14"/>
      <c r="C18" s="14"/>
      <c r="D18" s="14"/>
      <c r="E18" s="14"/>
      <c r="F18" s="14"/>
      <c r="G18" s="14"/>
      <c r="H18" s="14"/>
      <c r="I18" s="14"/>
      <c r="J18" s="14"/>
    </row>
    <row r="19" spans="8:8">
      <c r="A19" s="13"/>
      <c r="B19" s="14"/>
      <c r="C19" s="14"/>
      <c r="D19" s="14"/>
      <c r="E19" s="14"/>
      <c r="F19" s="14"/>
      <c r="G19" s="14"/>
      <c r="H19" s="14"/>
      <c r="I19" s="14"/>
      <c r="J19" s="14"/>
    </row>
    <row r="20" spans="8:8">
      <c r="A20" s="13"/>
      <c r="B20" s="14"/>
      <c r="C20" s="14"/>
      <c r="D20" s="14"/>
      <c r="E20" s="14"/>
      <c r="F20" s="14"/>
      <c r="G20" s="14"/>
      <c r="H20" s="14"/>
      <c r="I20" s="14"/>
      <c r="J20" s="14"/>
    </row>
    <row r="21" spans="8:8">
      <c r="A21" s="13"/>
      <c r="B21" s="14"/>
      <c r="C21" s="14"/>
      <c r="D21" s="14"/>
      <c r="E21" s="14"/>
      <c r="F21" s="14"/>
      <c r="G21" s="14"/>
      <c r="H21" s="14"/>
      <c r="I21" s="14"/>
      <c r="J21" s="14"/>
    </row>
    <row r="22" spans="8:8">
      <c r="A22" s="13"/>
      <c r="B22" s="14"/>
      <c r="C22" s="14"/>
      <c r="D22" s="14"/>
      <c r="E22" s="14"/>
      <c r="F22" s="14"/>
      <c r="G22" s="14"/>
      <c r="H22" s="14"/>
      <c r="I22" s="14"/>
      <c r="J22" s="14"/>
    </row>
    <row r="23" spans="8:8">
      <c r="A23" s="13"/>
      <c r="B23" s="14"/>
      <c r="C23" s="14"/>
      <c r="D23" s="14"/>
      <c r="E23" s="14"/>
      <c r="F23" s="14"/>
      <c r="G23" s="14"/>
      <c r="H23" s="14"/>
      <c r="I23" s="14"/>
      <c r="J23" s="14"/>
    </row>
    <row r="24" spans="8:8">
      <c r="A24" s="13"/>
      <c r="B24" s="14"/>
      <c r="C24" s="14"/>
      <c r="D24" s="14"/>
      <c r="E24" s="14"/>
      <c r="F24" s="14"/>
      <c r="G24" s="14"/>
      <c r="H24" s="14"/>
      <c r="I24" s="14"/>
      <c r="J24" s="14"/>
    </row>
    <row r="25" spans="8:8">
      <c r="A25" s="13"/>
      <c r="B25" s="14"/>
      <c r="C25" s="14"/>
      <c r="D25" s="14"/>
      <c r="E25" s="14"/>
      <c r="F25" s="14"/>
      <c r="G25" s="14"/>
      <c r="H25" s="14"/>
      <c r="I25" s="14"/>
      <c r="J25" s="14"/>
    </row>
    <row r="26" spans="8:8">
      <c r="A26" s="13"/>
      <c r="B26" s="14"/>
      <c r="C26" s="14"/>
      <c r="D26" s="14"/>
      <c r="E26" s="14"/>
      <c r="F26" s="14"/>
      <c r="G26" s="14"/>
      <c r="H26" s="14"/>
      <c r="I26" s="14"/>
      <c r="J26" s="14"/>
    </row>
    <row r="27" spans="8:8">
      <c r="A27" s="13"/>
      <c r="B27" s="14"/>
      <c r="C27" s="14"/>
      <c r="D27" s="14"/>
      <c r="E27" s="14"/>
      <c r="F27" s="14"/>
      <c r="G27" s="14"/>
      <c r="H27" s="14"/>
      <c r="I27" s="14"/>
      <c r="J27" s="14"/>
    </row>
    <row r="28" spans="8:8">
      <c r="A28" s="13"/>
      <c r="B28" s="14"/>
      <c r="C28" s="14"/>
      <c r="D28" s="14"/>
      <c r="E28" s="14"/>
      <c r="F28" s="14"/>
      <c r="G28" s="14"/>
      <c r="H28" s="14"/>
      <c r="I28" s="14"/>
      <c r="J28" s="14"/>
    </row>
    <row r="29" spans="8:8">
      <c r="A29" s="13"/>
      <c r="B29" s="14"/>
      <c r="C29" s="14"/>
      <c r="D29" s="14"/>
      <c r="E29" s="14"/>
      <c r="F29" s="14"/>
      <c r="G29" s="14"/>
      <c r="H29" s="14"/>
      <c r="I29" s="14"/>
      <c r="J29" s="14"/>
    </row>
    <row r="30" spans="8:8">
      <c r="A30" s="13"/>
      <c r="B30" s="14"/>
      <c r="C30" s="14"/>
      <c r="D30" s="14"/>
      <c r="E30" s="14"/>
      <c r="F30" s="14"/>
      <c r="G30" s="14"/>
      <c r="H30" s="14"/>
      <c r="I30" s="14"/>
      <c r="J30" s="14"/>
    </row>
    <row r="31" spans="8:8">
      <c r="A31" s="13"/>
      <c r="B31" s="14"/>
      <c r="C31" s="14"/>
      <c r="D31" s="14"/>
      <c r="E31" s="14"/>
      <c r="F31" s="14"/>
      <c r="G31" s="14"/>
      <c r="H31" s="14"/>
      <c r="I31" s="14"/>
      <c r="J31" s="14"/>
    </row>
    <row r="32" spans="8:8">
      <c r="A32" s="13"/>
      <c r="B32" s="14"/>
      <c r="C32" s="14"/>
      <c r="D32" s="14"/>
      <c r="E32" s="14"/>
      <c r="F32" s="14"/>
      <c r="G32" s="14"/>
      <c r="H32" s="14"/>
      <c r="I32" s="14"/>
      <c r="J32" s="14"/>
    </row>
    <row r="33" spans="8:8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 spans="8:8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 spans="8:8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 spans="8:8">
      <c r="A36" s="13"/>
      <c r="B36" s="14"/>
      <c r="C36" s="14"/>
      <c r="D36" s="14"/>
      <c r="E36" s="14"/>
      <c r="F36" s="14"/>
      <c r="G36" s="14"/>
      <c r="H36" s="14"/>
      <c r="I36" s="14"/>
      <c r="J36" s="14"/>
    </row>
    <row r="37" spans="8:8">
      <c r="A37" s="13"/>
      <c r="B37" s="14"/>
      <c r="C37" s="14"/>
      <c r="D37" s="14"/>
      <c r="E37" s="14"/>
      <c r="F37" s="14"/>
      <c r="G37" s="14"/>
      <c r="H37" s="14"/>
      <c r="I37" s="14"/>
      <c r="J37" s="14"/>
    </row>
    <row r="38" spans="8:8">
      <c r="A38" s="13"/>
      <c r="B38" s="14"/>
      <c r="C38" s="14"/>
      <c r="D38" s="14"/>
      <c r="E38" s="14"/>
      <c r="F38" s="14"/>
      <c r="G38" s="14"/>
      <c r="H38" s="14"/>
      <c r="I38" s="14"/>
      <c r="J38" s="14"/>
    </row>
    <row r="39" spans="8:8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 spans="8:8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 spans="8:8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 spans="8:8">
      <c r="A42" s="13"/>
      <c r="B42" s="14"/>
      <c r="C42" s="14"/>
      <c r="D42" s="14"/>
      <c r="E42" s="14"/>
      <c r="F42" s="14"/>
      <c r="G42" s="14"/>
      <c r="H42" s="14"/>
      <c r="I42" s="14"/>
      <c r="J42" s="14"/>
    </row>
    <row r="43" spans="8:8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 spans="8:8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 spans="8:8">
      <c r="A45" s="13"/>
      <c r="B45" s="14"/>
      <c r="C45" s="14"/>
      <c r="D45" s="14"/>
      <c r="E45" s="14"/>
      <c r="F45" s="14"/>
      <c r="G45" s="14"/>
      <c r="H45" s="14"/>
      <c r="I45" s="14"/>
      <c r="J45" s="14"/>
    </row>
    <row r="46" spans="8:8">
      <c r="A46" s="13"/>
      <c r="B46" s="14"/>
      <c r="C46" s="14"/>
      <c r="D46" s="14"/>
      <c r="E46" s="14"/>
      <c r="F46" s="14"/>
      <c r="G46" s="14"/>
      <c r="H46" s="14"/>
      <c r="I46" s="14"/>
      <c r="J46" s="14"/>
    </row>
    <row r="47" spans="8:8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 spans="8:8">
      <c r="A48" s="13"/>
      <c r="B48" s="14"/>
      <c r="C48" s="14"/>
      <c r="D48" s="14"/>
      <c r="E48" s="14"/>
      <c r="F48" s="14"/>
      <c r="G48" s="14"/>
      <c r="H48" s="14"/>
      <c r="I48" s="14"/>
      <c r="J48" s="14"/>
    </row>
    <row r="49" spans="8:8">
      <c r="A49" s="13"/>
      <c r="B49" s="14"/>
      <c r="C49" s="14"/>
      <c r="D49" s="14"/>
      <c r="E49" s="14"/>
      <c r="F49" s="14"/>
      <c r="G49" s="14"/>
      <c r="H49" s="14"/>
      <c r="I49" s="14"/>
      <c r="J49" s="14"/>
    </row>
    <row r="50" spans="8:8">
      <c r="A50" s="13"/>
      <c r="B50" s="14"/>
      <c r="C50" s="14"/>
      <c r="D50" s="14"/>
      <c r="E50" s="14"/>
      <c r="F50" s="14"/>
      <c r="G50" s="14"/>
      <c r="H50" s="14"/>
      <c r="I50" s="14"/>
      <c r="J50" s="14"/>
    </row>
    <row r="51" spans="8:8">
      <c r="A51" s="13"/>
      <c r="B51" s="14"/>
      <c r="C51" s="14"/>
      <c r="D51" s="14"/>
      <c r="E51" s="14"/>
      <c r="F51" s="14"/>
      <c r="G51" s="14"/>
      <c r="H51" s="14"/>
      <c r="I51" s="14"/>
      <c r="J51" s="14"/>
    </row>
    <row r="52" spans="8:8">
      <c r="A52" s="13"/>
      <c r="B52" s="14"/>
      <c r="C52" s="14"/>
      <c r="D52" s="14"/>
      <c r="E52" s="14"/>
      <c r="F52" s="14"/>
      <c r="G52" s="14"/>
      <c r="H52" s="14"/>
      <c r="I52" s="14"/>
      <c r="J52" s="14"/>
    </row>
    <row r="53" spans="8:8">
      <c r="A53" s="13"/>
      <c r="B53" s="14"/>
      <c r="C53" s="14"/>
      <c r="D53" s="14"/>
      <c r="E53" s="14"/>
      <c r="F53" s="14"/>
      <c r="G53" s="14"/>
      <c r="H53" s="14"/>
      <c r="I53" s="14"/>
      <c r="J53" s="14"/>
    </row>
    <row r="54" spans="8:8">
      <c r="A54" s="13"/>
      <c r="B54" s="14"/>
      <c r="C54" s="14"/>
      <c r="D54" s="14"/>
      <c r="E54" s="14"/>
      <c r="F54" s="14"/>
      <c r="G54" s="14"/>
      <c r="H54" s="14"/>
      <c r="I54" s="14"/>
      <c r="J54" s="14"/>
    </row>
    <row r="55" spans="8:8">
      <c r="A55" s="13"/>
      <c r="B55" s="14"/>
      <c r="C55" s="14"/>
      <c r="D55" s="14"/>
      <c r="E55" s="14"/>
      <c r="F55" s="14"/>
      <c r="G55" s="14"/>
      <c r="H55" s="14"/>
      <c r="I55" s="14"/>
      <c r="J55" s="14"/>
    </row>
    <row r="56" spans="8:8">
      <c r="A56" s="13"/>
      <c r="B56" s="14"/>
      <c r="C56" s="14"/>
      <c r="D56" s="14"/>
      <c r="E56" s="14"/>
      <c r="F56" s="14"/>
      <c r="G56" s="14"/>
      <c r="H56" s="14"/>
      <c r="I56" s="14"/>
      <c r="J56" s="14"/>
    </row>
    <row r="57" spans="8:8">
      <c r="A57" s="13"/>
      <c r="B57" s="14"/>
      <c r="C57" s="14"/>
      <c r="D57" s="14"/>
      <c r="E57" s="14"/>
      <c r="F57" s="14"/>
      <c r="G57" s="14"/>
      <c r="H57" s="14"/>
      <c r="I57" s="14"/>
      <c r="J57" s="14"/>
    </row>
    <row r="58" spans="8:8">
      <c r="A58" s="13"/>
      <c r="B58" s="14"/>
      <c r="C58" s="14"/>
      <c r="D58" s="14"/>
      <c r="E58" s="14"/>
      <c r="F58" s="14"/>
      <c r="G58" s="14"/>
      <c r="H58" s="14"/>
      <c r="I58" s="14"/>
      <c r="J58" s="14"/>
    </row>
    <row r="59" spans="8:8">
      <c r="A59" s="13"/>
      <c r="B59" s="14"/>
      <c r="C59" s="14"/>
      <c r="D59" s="14"/>
      <c r="E59" s="14"/>
      <c r="F59" s="14"/>
      <c r="G59" s="14"/>
      <c r="H59" s="14"/>
      <c r="I59" s="14"/>
      <c r="J59" s="14"/>
    </row>
    <row r="60" spans="8:8">
      <c r="A60" s="13"/>
      <c r="B60" s="14"/>
      <c r="C60" s="14"/>
      <c r="D60" s="14"/>
      <c r="E60" s="14"/>
      <c r="F60" s="14"/>
      <c r="G60" s="14"/>
      <c r="H60" s="14"/>
      <c r="I60" s="14"/>
      <c r="J60" s="14"/>
    </row>
    <row r="61" spans="8:8">
      <c r="A61" s="13"/>
      <c r="B61" s="14"/>
      <c r="C61" s="14"/>
      <c r="D61" s="14"/>
      <c r="E61" s="14"/>
      <c r="F61" s="14"/>
      <c r="G61" s="14"/>
      <c r="H61" s="14"/>
      <c r="I61" s="14"/>
      <c r="J61" s="14"/>
    </row>
    <row r="62" spans="8:8">
      <c r="A62" s="13"/>
      <c r="B62" s="14"/>
      <c r="C62" s="14"/>
      <c r="D62" s="14"/>
      <c r="E62" s="14"/>
      <c r="F62" s="14"/>
      <c r="G62" s="14"/>
      <c r="H62" s="14"/>
      <c r="I62" s="14"/>
      <c r="J62" s="14"/>
    </row>
    <row r="63" spans="8:8">
      <c r="A63" s="13"/>
      <c r="B63" s="14"/>
      <c r="C63" s="14"/>
      <c r="D63" s="14"/>
      <c r="E63" s="14"/>
      <c r="F63" s="14"/>
      <c r="G63" s="14"/>
      <c r="H63" s="14"/>
      <c r="I63" s="14"/>
      <c r="J63" s="14"/>
    </row>
    <row r="64" spans="8:8">
      <c r="A64" s="13"/>
      <c r="B64" s="14"/>
      <c r="C64" s="14"/>
      <c r="D64" s="14"/>
      <c r="E64" s="14"/>
      <c r="F64" s="14"/>
      <c r="G64" s="14"/>
      <c r="H64" s="14"/>
      <c r="I64" s="14"/>
      <c r="J64" s="14"/>
    </row>
    <row r="65" spans="8:8">
      <c r="A65" s="13"/>
      <c r="B65" s="14"/>
      <c r="C65" s="14"/>
      <c r="D65" s="14"/>
      <c r="E65" s="14"/>
      <c r="F65" s="14"/>
      <c r="G65" s="14"/>
      <c r="H65" s="14"/>
      <c r="I65" s="14"/>
      <c r="J65" s="14"/>
    </row>
    <row r="66" spans="8:8">
      <c r="A66" s="13"/>
      <c r="B66" s="14"/>
      <c r="C66" s="14"/>
      <c r="D66" s="14"/>
      <c r="E66" s="14"/>
      <c r="F66" s="14"/>
      <c r="G66" s="14"/>
      <c r="H66" s="14"/>
      <c r="I66" s="14"/>
      <c r="J66" s="14"/>
    </row>
    <row r="67" spans="8:8">
      <c r="A67" s="13"/>
      <c r="B67" s="14"/>
      <c r="C67" s="14"/>
      <c r="D67" s="14"/>
      <c r="E67" s="14"/>
      <c r="F67" s="14"/>
      <c r="G67" s="14"/>
      <c r="H67" s="14"/>
      <c r="I67" s="14"/>
      <c r="J67" s="14"/>
    </row>
    <row r="68" spans="8:8">
      <c r="A68" s="13"/>
      <c r="B68" s="14"/>
      <c r="C68" s="14"/>
      <c r="D68" s="14"/>
      <c r="E68" s="14"/>
      <c r="F68" s="14"/>
      <c r="G68" s="14"/>
      <c r="H68" s="14"/>
      <c r="I68" s="14"/>
      <c r="J68" s="14"/>
    </row>
    <row r="69" spans="8:8">
      <c r="A69" s="13"/>
      <c r="B69" s="14"/>
      <c r="C69" s="14"/>
      <c r="D69" s="14"/>
      <c r="E69" s="14"/>
      <c r="F69" s="14"/>
      <c r="G69" s="14"/>
      <c r="H69" s="14"/>
      <c r="I69" s="14"/>
      <c r="J69" s="14"/>
    </row>
    <row r="70" spans="8:8">
      <c r="A70" s="13"/>
      <c r="B70" s="14"/>
      <c r="C70" s="14"/>
      <c r="D70" s="14"/>
      <c r="E70" s="14"/>
      <c r="F70" s="14"/>
      <c r="G70" s="14"/>
      <c r="H70" s="14"/>
      <c r="I70" s="14"/>
      <c r="J70" s="14"/>
    </row>
    <row r="71" spans="8:8">
      <c r="A71" s="13"/>
      <c r="B71" s="14"/>
      <c r="C71" s="14"/>
      <c r="D71" s="14"/>
      <c r="E71" s="14"/>
      <c r="F71" s="14"/>
      <c r="G71" s="14"/>
      <c r="H71" s="14"/>
      <c r="I71" s="14"/>
      <c r="J71" s="14"/>
    </row>
    <row r="72" spans="8:8">
      <c r="A72" s="13"/>
      <c r="B72" s="14"/>
      <c r="C72" s="14"/>
      <c r="D72" s="14"/>
      <c r="E72" s="14"/>
      <c r="F72" s="14"/>
      <c r="G72" s="14"/>
      <c r="H72" s="14"/>
      <c r="I72" s="14"/>
      <c r="J72" s="14"/>
    </row>
    <row r="73" spans="8:8">
      <c r="A73" s="13"/>
      <c r="B73" s="14"/>
      <c r="C73" s="14"/>
      <c r="D73" s="14"/>
      <c r="E73" s="14"/>
      <c r="F73" s="14"/>
      <c r="G73" s="14"/>
      <c r="H73" s="14"/>
      <c r="I73" s="14"/>
      <c r="J73" s="14"/>
    </row>
    <row r="74" spans="8:8">
      <c r="A74" s="13"/>
      <c r="B74" s="14"/>
      <c r="C74" s="14"/>
      <c r="D74" s="14"/>
      <c r="E74" s="14"/>
      <c r="F74" s="14"/>
      <c r="G74" s="14"/>
      <c r="H74" s="14"/>
      <c r="I74" s="14"/>
      <c r="J74" s="14"/>
    </row>
    <row r="75" spans="8:8">
      <c r="A75" s="13"/>
      <c r="B75" s="14"/>
      <c r="C75" s="14"/>
      <c r="D75" s="14"/>
      <c r="E75" s="14"/>
      <c r="F75" s="14"/>
      <c r="G75" s="14"/>
      <c r="H75" s="14"/>
      <c r="I75" s="14"/>
      <c r="J75" s="14"/>
    </row>
    <row r="76" spans="8:8">
      <c r="A76" s="13"/>
      <c r="B76" s="14"/>
      <c r="C76" s="14"/>
      <c r="D76" s="14"/>
      <c r="E76" s="14"/>
      <c r="F76" s="14"/>
      <c r="G76" s="14"/>
      <c r="H76" s="14"/>
      <c r="I76" s="14"/>
      <c r="J76" s="14"/>
    </row>
    <row r="77" spans="8:8">
      <c r="A77" s="13"/>
      <c r="B77" s="14"/>
      <c r="C77" s="14"/>
      <c r="D77" s="14"/>
      <c r="E77" s="14"/>
      <c r="F77" s="14"/>
      <c r="G77" s="14"/>
      <c r="H77" s="14"/>
      <c r="I77" s="14"/>
      <c r="J77" s="14"/>
    </row>
    <row r="78" spans="8:8">
      <c r="A78" s="13"/>
      <c r="B78" s="14"/>
      <c r="C78" s="14"/>
      <c r="D78" s="14"/>
      <c r="E78" s="14"/>
      <c r="F78" s="14"/>
      <c r="G78" s="14"/>
      <c r="H78" s="14"/>
      <c r="I78" s="14"/>
      <c r="J78" s="14"/>
    </row>
    <row r="79" spans="8:8">
      <c r="A79" s="13"/>
      <c r="B79" s="14"/>
      <c r="C79" s="14"/>
      <c r="D79" s="14"/>
      <c r="E79" s="14"/>
      <c r="F79" s="14"/>
      <c r="G79" s="14"/>
      <c r="H79" s="14"/>
      <c r="I79" s="14"/>
      <c r="J79" s="14"/>
    </row>
    <row r="80" spans="8:8">
      <c r="A80" s="13"/>
      <c r="B80" s="14"/>
      <c r="C80" s="14"/>
      <c r="D80" s="14"/>
      <c r="E80" s="14"/>
      <c r="F80" s="14"/>
      <c r="G80" s="14"/>
      <c r="H80" s="14"/>
      <c r="I80" s="14"/>
      <c r="J80" s="14"/>
    </row>
    <row r="81" spans="8:8">
      <c r="A81" s="13"/>
      <c r="B81" s="14"/>
      <c r="C81" s="14"/>
      <c r="D81" s="14"/>
      <c r="E81" s="14"/>
      <c r="F81" s="14"/>
      <c r="G81" s="14"/>
      <c r="H81" s="14"/>
      <c r="I81" s="14"/>
      <c r="J81" s="14"/>
    </row>
    <row r="82" spans="8:8">
      <c r="A82" s="13"/>
      <c r="B82" s="14"/>
      <c r="C82" s="14"/>
      <c r="D82" s="14"/>
      <c r="E82" s="14"/>
      <c r="F82" s="14"/>
      <c r="G82" s="14"/>
      <c r="H82" s="14"/>
      <c r="I82" s="14"/>
      <c r="J82" s="14"/>
    </row>
    <row r="83" spans="8:8">
      <c r="A83" s="13"/>
      <c r="B83" s="14"/>
      <c r="C83" s="14"/>
      <c r="D83" s="14"/>
      <c r="E83" s="14"/>
      <c r="F83" s="14"/>
      <c r="G83" s="14"/>
      <c r="H83" s="14"/>
      <c r="I83" s="14"/>
      <c r="J83" s="14"/>
    </row>
    <row r="84" spans="8:8">
      <c r="A84" s="13"/>
      <c r="B84" s="14"/>
      <c r="C84" s="14"/>
      <c r="D84" s="14"/>
      <c r="E84" s="14"/>
      <c r="F84" s="14"/>
      <c r="G84" s="14"/>
      <c r="H84" s="14"/>
      <c r="I84" s="14"/>
      <c r="J84" s="14"/>
    </row>
    <row r="85" spans="8:8">
      <c r="A85" s="13"/>
      <c r="B85" s="14"/>
      <c r="C85" s="14"/>
      <c r="D85" s="14"/>
      <c r="E85" s="14"/>
      <c r="F85" s="14"/>
      <c r="G85" s="14"/>
      <c r="H85" s="14"/>
      <c r="I85" s="14"/>
      <c r="J85" s="14"/>
    </row>
    <row r="86" spans="8:8">
      <c r="A86" s="13"/>
      <c r="B86" s="14"/>
      <c r="C86" s="14"/>
      <c r="D86" s="14"/>
      <c r="E86" s="14"/>
      <c r="F86" s="14"/>
      <c r="G86" s="14"/>
      <c r="H86" s="14"/>
      <c r="I86" s="14"/>
      <c r="J86" s="14"/>
    </row>
    <row r="87" spans="8:8">
      <c r="A87" s="13"/>
      <c r="B87" s="14"/>
      <c r="C87" s="14"/>
      <c r="D87" s="14"/>
      <c r="E87" s="14"/>
      <c r="F87" s="14"/>
      <c r="G87" s="14"/>
      <c r="H87" s="14"/>
      <c r="I87" s="14"/>
      <c r="J87" s="14"/>
    </row>
    <row r="88" spans="8:8">
      <c r="A88" s="13"/>
      <c r="B88" s="14"/>
      <c r="C88" s="14"/>
      <c r="D88" s="14"/>
      <c r="E88" s="14"/>
      <c r="F88" s="14"/>
      <c r="G88" s="14"/>
      <c r="H88" s="14"/>
      <c r="I88" s="14"/>
      <c r="J88" s="14"/>
    </row>
    <row r="89" spans="8:8">
      <c r="A89" s="13"/>
      <c r="B89" s="14"/>
      <c r="C89" s="14"/>
      <c r="D89" s="14"/>
      <c r="E89" s="14"/>
      <c r="F89" s="14"/>
      <c r="G89" s="14"/>
      <c r="H89" s="14"/>
      <c r="I89" s="14"/>
      <c r="J89" s="14"/>
    </row>
    <row r="90" spans="8:8">
      <c r="A90" s="13"/>
      <c r="B90" s="14"/>
      <c r="C90" s="14"/>
      <c r="D90" s="14"/>
      <c r="E90" s="14"/>
      <c r="F90" s="14"/>
      <c r="G90" s="14"/>
      <c r="H90" s="14"/>
      <c r="I90" s="14"/>
      <c r="J90" s="14"/>
    </row>
    <row r="91" spans="8:8">
      <c r="A91" s="13"/>
      <c r="B91" s="14"/>
      <c r="C91" s="14"/>
      <c r="D91" s="14"/>
      <c r="E91" s="14"/>
      <c r="F91" s="14"/>
      <c r="G91" s="14"/>
      <c r="H91" s="14"/>
      <c r="I91" s="14"/>
      <c r="J91" s="14"/>
    </row>
    <row r="92" spans="8:8">
      <c r="A92" s="13"/>
      <c r="B92" s="14"/>
      <c r="C92" s="14"/>
      <c r="D92" s="14"/>
      <c r="E92" s="14"/>
      <c r="F92" s="14"/>
      <c r="G92" s="14"/>
      <c r="H92" s="14"/>
      <c r="I92" s="14"/>
      <c r="J92" s="14"/>
    </row>
    <row r="93" spans="8:8">
      <c r="A93" s="13"/>
      <c r="B93" s="14"/>
      <c r="C93" s="14"/>
      <c r="D93" s="14"/>
      <c r="E93" s="14"/>
      <c r="F93" s="14"/>
      <c r="G93" s="14"/>
      <c r="H93" s="14"/>
      <c r="I93" s="14"/>
      <c r="J93" s="14"/>
    </row>
    <row r="94" spans="8:8">
      <c r="A94" s="13"/>
      <c r="B94" s="14"/>
      <c r="C94" s="14"/>
      <c r="D94" s="14"/>
      <c r="E94" s="14"/>
      <c r="F94" s="14"/>
      <c r="G94" s="14"/>
      <c r="H94" s="14"/>
      <c r="I94" s="14"/>
      <c r="J94" s="14"/>
    </row>
    <row r="95" spans="8:8">
      <c r="A95" s="13"/>
      <c r="B95" s="14"/>
      <c r="C95" s="14"/>
      <c r="D95" s="14"/>
      <c r="E95" s="14"/>
      <c r="F95" s="14"/>
      <c r="G95" s="14"/>
      <c r="H95" s="14"/>
      <c r="I95" s="14"/>
      <c r="J95" s="14"/>
    </row>
    <row r="96" spans="8:8">
      <c r="A96" s="13"/>
      <c r="B96" s="14"/>
      <c r="C96" s="14"/>
      <c r="D96" s="14"/>
      <c r="E96" s="14"/>
      <c r="F96" s="14"/>
      <c r="G96" s="14"/>
      <c r="H96" s="14"/>
      <c r="I96" s="14"/>
      <c r="J96" s="14"/>
    </row>
    <row r="97" spans="8:8">
      <c r="A97" s="13"/>
      <c r="B97" s="14"/>
      <c r="C97" s="14"/>
      <c r="D97" s="14"/>
      <c r="E97" s="14"/>
      <c r="F97" s="14"/>
      <c r="G97" s="14"/>
      <c r="H97" s="14"/>
      <c r="I97" s="14"/>
      <c r="J97" s="14"/>
    </row>
    <row r="98" spans="8:8">
      <c r="A98" s="13"/>
      <c r="B98" s="14"/>
      <c r="C98" s="14"/>
      <c r="D98" s="14"/>
      <c r="E98" s="14"/>
      <c r="F98" s="14"/>
      <c r="G98" s="14"/>
      <c r="H98" s="14"/>
      <c r="I98" s="14"/>
      <c r="J98" s="14"/>
    </row>
    <row r="99" spans="8:8">
      <c r="A99" s="13"/>
      <c r="B99" s="14"/>
      <c r="C99" s="14"/>
      <c r="D99" s="14"/>
      <c r="E99" s="14"/>
      <c r="F99" s="14"/>
      <c r="G99" s="14"/>
      <c r="H99" s="14"/>
      <c r="I99" s="14"/>
      <c r="J99" s="14"/>
    </row>
    <row r="100" spans="8:8">
      <c r="A100" s="13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8:8">
      <c r="A101" s="13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8:8">
      <c r="A102" s="13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8:8">
      <c r="A103" s="13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8:8">
      <c r="A104" s="13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8:8">
      <c r="A105" s="13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8:8">
      <c r="A106" s="13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8:8">
      <c r="A107" s="13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8:8">
      <c r="A108" s="13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8:8">
      <c r="A109" s="13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8:8">
      <c r="A110" s="13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8:8">
      <c r="A111" s="13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8:8">
      <c r="A112" s="13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8:8">
      <c r="A113" s="13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8:8">
      <c r="A114" s="13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8:8">
      <c r="A115" s="13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8:8">
      <c r="A116" s="13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8:8">
      <c r="A117" s="13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8:8">
      <c r="A118" s="13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8:8">
      <c r="A119" s="13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8:8">
      <c r="A120" s="13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8:8">
      <c r="A121" s="13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8:8">
      <c r="A122" s="13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8:8">
      <c r="A123" s="13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8:8">
      <c r="A124" s="13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8:8">
      <c r="A125" s="13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8:8">
      <c r="A126" s="13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8:8">
      <c r="A127" s="13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8:8">
      <c r="A128" s="13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8:8">
      <c r="A129" s="13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8:8">
      <c r="A130" s="13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8:8">
      <c r="A131" s="13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8:8">
      <c r="A132" s="13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8:8">
      <c r="A133" s="13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8:8">
      <c r="A134" s="13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8:8">
      <c r="A135" s="13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8:8">
      <c r="A136" s="13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8:8">
      <c r="A137" s="13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8:8">
      <c r="A138" s="13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8:8">
      <c r="A139" s="13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8:8">
      <c r="A140" s="13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8:8">
      <c r="A141" s="13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8:8">
      <c r="A142" s="13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8:8">
      <c r="A143" s="13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8:8">
      <c r="A144" s="13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8:8">
      <c r="A145" s="13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8:8">
      <c r="A146" s="13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8:8">
      <c r="A147" s="13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8:8">
      <c r="A148" s="13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8:8">
      <c r="A149" s="13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8:8">
      <c r="A150" s="13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8:8">
      <c r="A151" s="13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8:8">
      <c r="A152" s="13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8:8">
      <c r="A153" s="13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8:8">
      <c r="A154" s="13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8:8">
      <c r="A155" s="13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8:8">
      <c r="A156" s="13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8:8">
      <c r="A157" s="13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8:8">
      <c r="A158" s="13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8:8">
      <c r="A159" s="13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8:8">
      <c r="A160" s="13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8:8">
      <c r="A161" s="13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8:8">
      <c r="A162" s="13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8:8">
      <c r="A163" s="13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8:8">
      <c r="A164" s="13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8:8">
      <c r="A165" s="13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8:8">
      <c r="A166" s="13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8:8">
      <c r="A167" s="13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8:8">
      <c r="A168" s="13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8:8">
      <c r="A169" s="13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8:8">
      <c r="A170" s="13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8:8">
      <c r="A171" s="13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8:8">
      <c r="A172" s="13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8:8">
      <c r="A173" s="13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8:8">
      <c r="A174" s="13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8:8">
      <c r="A175" s="13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8:8">
      <c r="A176" s="13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8:8">
      <c r="A177" s="13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8:8">
      <c r="A178" s="13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8:8">
      <c r="A179" s="13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8:8">
      <c r="A180" s="13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8:8">
      <c r="A181" s="13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8:8">
      <c r="A182" s="13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8:8">
      <c r="A183" s="13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8:8">
      <c r="A184" s="13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8:8">
      <c r="A185" s="13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8:8">
      <c r="A186" s="13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8:8">
      <c r="A187" s="13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8:8">
      <c r="A188" s="13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8:8">
      <c r="A189" s="13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8:8">
      <c r="A190" s="13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8:8">
      <c r="A191" s="13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8:8">
      <c r="A192" s="13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8:8">
      <c r="A193" s="13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8:8">
      <c r="A194" s="13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8:8">
      <c r="A195" s="13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8:8">
      <c r="A196" s="13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8:8">
      <c r="A197" s="13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8:8">
      <c r="A198" s="13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8:8">
      <c r="A199" s="13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8:8">
      <c r="A200" s="13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8:8">
      <c r="A201" s="13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8:8">
      <c r="A202" s="13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8:8">
      <c r="A203" s="13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8:8">
      <c r="A204" s="13"/>
      <c r="B204" s="14"/>
      <c r="C204" s="14"/>
      <c r="D204" s="14"/>
      <c r="E204" s="14"/>
      <c r="F204" s="14"/>
      <c r="G204" s="14"/>
      <c r="H204" s="14"/>
      <c r="I204" s="14"/>
      <c r="J204" s="14"/>
    </row>
  </sheetData>
  <autoFilter ref="A4:J204">
    <filterColumn colId="0" showButton="1"/>
  </autoFilter>
  <mergeCells count="2">
    <mergeCell ref="A1:J1"/>
    <mergeCell ref="A2:J2"/>
  </mergeCells>
  <conditionalFormatting sqref="G5:G204">
    <cfRule type="expression" priority="2" dxfId="0">
      <formula>G5="Ada Kendala"</formula>
    </cfRule>
    <cfRule type="expression" priority="1" dxfId="1">
      <formula>G5="Sukses"</formula>
    </cfRule>
  </conditionalFormatting>
  <dataValidations count="3">
    <dataValidation allowBlank="1" type="list" errorStyle="stop" sqref="B5:B204">
      <formula1>"TS 01,TS 02,TS 03,TS 04,TS 05,TS 06,TS 07,TS 08,TS 09,TS 10"</formula1>
    </dataValidation>
    <dataValidation allowBlank="1" type="list" errorStyle="stop" sqref="E5:E204">
      <formula1>"TKA,THA,UKA,Revision,Trauma,Lainnya"</formula1>
    </dataValidation>
    <dataValidation allowBlank="1" type="list" errorStyle="stop" sqref="G5:G204">
      <formula1>"Sukses,Ada Kendala"</formula1>
    </dataValidation>
  </dataValidation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G25"/>
  <sheetViews>
    <sheetView tabSelected="1" workbookViewId="0" zoomScale="55">
      <pane ySplit="3" topLeftCell="A4" state="frozen" activePane="bottomLeft"/>
      <selection pane="bottomLeft" activeCell="F22" sqref="F22"/>
    </sheetView>
  </sheetViews>
  <sheetFormatPr defaultRowHeight="15.0" defaultColWidth="10"/>
  <cols>
    <col min="1" max="1" customWidth="1" width="22.0" style="0"/>
    <col min="2" max="2" customWidth="1" width="15.0" style="0"/>
    <col min="3" max="3" customWidth="1" width="15.0" style="0"/>
    <col min="4" max="4" customWidth="1" width="18.0" style="0"/>
  </cols>
  <sheetData>
    <row r="1" spans="8:8">
      <c r="A1" s="15" t="s">
        <v>18</v>
      </c>
      <c r="B1" s="16"/>
      <c r="C1" s="16"/>
      <c r="D1" s="16"/>
    </row>
    <row r="2" spans="8:8">
      <c r="A2" s="16"/>
      <c r="B2" s="16"/>
      <c r="C2" s="16"/>
      <c r="D2" s="16"/>
    </row>
    <row r="3" spans="8:8">
      <c r="A3" s="17" t="s">
        <v>3</v>
      </c>
      <c r="B3" s="17" t="s">
        <v>19</v>
      </c>
      <c r="C3" s="17" t="s">
        <v>20</v>
      </c>
      <c r="D3" s="17" t="s">
        <v>21</v>
      </c>
    </row>
    <row r="4" spans="8:8">
      <c r="A4" s="16" t="s">
        <v>65</v>
      </c>
      <c r="B4" s="16">
        <v>1.0</v>
      </c>
      <c r="C4" s="16">
        <v>1.0</v>
      </c>
      <c r="D4" s="16">
        <f>_xlfn.COUNTIFS('CASE REPORT'!B:B,A4,'CASE REPORT'!G:G,"Ada Kendala")</f>
        <v>0.0</v>
      </c>
    </row>
    <row r="5" spans="8:8">
      <c r="A5" s="16" t="s">
        <v>83</v>
      </c>
      <c r="B5" s="16">
        <v>1.0</v>
      </c>
      <c r="C5" s="16">
        <v>1.0</v>
      </c>
      <c r="D5" s="16">
        <f>_xlfn.COUNTIFS('CASE REPORT'!B:B,A5,'CASE REPORT'!G:G,"Ada Kendala")</f>
        <v>0.0</v>
      </c>
    </row>
    <row r="6" spans="8:8">
      <c r="A6" s="16" t="s">
        <v>84</v>
      </c>
      <c r="B6" s="16">
        <v>1.0</v>
      </c>
      <c r="C6" s="16">
        <f>_xlfn.COUNTIFS('CASE REPORT'!B:B,A6,'CASE REPORT'!G:G,"Sukses")</f>
        <v>0.0</v>
      </c>
      <c r="D6" s="16">
        <v>1.0</v>
      </c>
    </row>
    <row r="7" spans="8:8" ht="15.05">
      <c r="A7" s="16" t="s">
        <v>85</v>
      </c>
      <c r="B7" s="16">
        <f>COUNTIF('CASE REPORT'!B:B,A7)</f>
        <v>0.0</v>
      </c>
      <c r="C7" s="16">
        <f>_xlfn.COUNTIFS('CASE REPORT'!B:B,A7,'CASE REPORT'!G:G,"Sukses")</f>
        <v>0.0</v>
      </c>
      <c r="D7" s="16">
        <f>_xlfn.COUNTIFS('CASE REPORT'!B:B,A7,'CASE REPORT'!G:G,"Ada Kendala")</f>
        <v>0.0</v>
      </c>
    </row>
    <row r="8" spans="8:8">
      <c r="A8" s="16" t="s">
        <v>32</v>
      </c>
      <c r="B8" s="16">
        <v>1.0</v>
      </c>
      <c r="C8" s="16">
        <f>_xlfn.COUNTIFS('CASE REPORT'!B:B,A8,'CASE REPORT'!G:G,"Sukses")</f>
        <v>0.0</v>
      </c>
      <c r="D8" s="16">
        <f>_xlfn.COUNTIFS('CASE REPORT'!B:B,A8,'CASE REPORT'!G:G,"Ada Kendala")</f>
        <v>0.0</v>
      </c>
    </row>
    <row r="9" spans="8:8" ht="15.05">
      <c r="A9" s="16" t="s">
        <v>86</v>
      </c>
      <c r="B9" s="16">
        <f>COUNTIF('CASE REPORT'!B:B,A9)</f>
        <v>0.0</v>
      </c>
      <c r="C9" s="16">
        <f>_xlfn.COUNTIFS('CASE REPORT'!B:B,A9,'CASE REPORT'!G:G,"Sukses")</f>
        <v>0.0</v>
      </c>
      <c r="D9" s="16">
        <f>_xlfn.COUNTIFS('CASE REPORT'!B:B,A9,'CASE REPORT'!G:G,"Ada Kendala")</f>
        <v>0.0</v>
      </c>
    </row>
    <row r="10" spans="8:8" ht="15.05">
      <c r="A10" s="16" t="s">
        <v>87</v>
      </c>
      <c r="B10" s="16">
        <f>COUNTIF('CASE REPORT'!B:B,A10)</f>
        <v>0.0</v>
      </c>
      <c r="C10" s="16">
        <f>_xlfn.COUNTIFS('CASE REPORT'!B:B,A10,'CASE REPORT'!G:G,"Sukses")</f>
        <v>0.0</v>
      </c>
      <c r="D10" s="16">
        <f>_xlfn.COUNTIFS('CASE REPORT'!B:B,A10,'CASE REPORT'!G:G,"Ada Kendala")</f>
        <v>0.0</v>
      </c>
    </row>
    <row r="11" spans="8:8" ht="15.05">
      <c r="A11" s="16" t="s">
        <v>89</v>
      </c>
      <c r="B11" s="16">
        <f>COUNTIF('CASE REPORT'!B:B,A11)</f>
        <v>0.0</v>
      </c>
      <c r="C11" s="16">
        <f>_xlfn.COUNTIFS('CASE REPORT'!B:B,A11,'CASE REPORT'!G:G,"Sukses")</f>
        <v>0.0</v>
      </c>
      <c r="D11" s="16">
        <f>_xlfn.COUNTIFS('CASE REPORT'!B:B,A11,'CASE REPORT'!G:G,"Ada Kendala")</f>
        <v>0.0</v>
      </c>
    </row>
    <row r="12" spans="8:8" ht="15.05">
      <c r="A12" s="16" t="s">
        <v>42</v>
      </c>
      <c r="B12" s="16">
        <f>COUNTIF('CASE REPORT'!B:B,A12)</f>
        <v>1.0</v>
      </c>
      <c r="C12" s="16">
        <f>_xlfn.COUNTIFS('CASE REPORT'!B:B,A12,'CASE REPORT'!G:G,"Sukses")</f>
        <v>0.0</v>
      </c>
      <c r="D12" s="16">
        <f>_xlfn.COUNTIFS('CASE REPORT'!B:B,A12,'CASE REPORT'!G:G,"Ada Kendala")</f>
        <v>1.0</v>
      </c>
    </row>
    <row r="13" spans="8:8" ht="15.05">
      <c r="A13" s="16" t="s">
        <v>90</v>
      </c>
      <c r="B13" s="16">
        <f>COUNTIF('CASE REPORT'!B:B,A13)</f>
        <v>1.0</v>
      </c>
      <c r="C13" s="16">
        <f>_xlfn.COUNTIFS('CASE REPORT'!B:B,A13,'CASE REPORT'!G:G,"Sukses")</f>
        <v>1.0</v>
      </c>
      <c r="D13" s="16">
        <f>_xlfn.COUNTIFS('CASE REPORT'!B:B,A13,'CASE REPORT'!G:G,"Ada Kendala")</f>
        <v>0.0</v>
      </c>
    </row>
    <row r="14" spans="8:8">
      <c r="A14" s="16" t="s">
        <v>92</v>
      </c>
      <c r="B14" s="16">
        <v>0.0</v>
      </c>
      <c r="C14" s="16">
        <v>0.0</v>
      </c>
      <c r="D14" s="16">
        <v>0.0</v>
      </c>
    </row>
    <row r="15" spans="8:8">
      <c r="A15" s="16" t="s">
        <v>91</v>
      </c>
      <c r="B15" s="16">
        <v>0.0</v>
      </c>
      <c r="C15" s="16">
        <v>0.0</v>
      </c>
      <c r="D15" s="16">
        <v>0.0</v>
      </c>
    </row>
    <row r="16" spans="8:8">
      <c r="A16" s="16" t="s">
        <v>54</v>
      </c>
      <c r="B16" s="16">
        <v>2.0</v>
      </c>
      <c r="C16" s="16">
        <v>1.0</v>
      </c>
      <c r="D16" s="16">
        <v>0.0</v>
      </c>
    </row>
    <row r="17" spans="8:8">
      <c r="A17" s="16" t="s">
        <v>88</v>
      </c>
      <c r="B17" s="16">
        <v>1.0</v>
      </c>
      <c r="C17" s="16">
        <v>0.0</v>
      </c>
      <c r="D17" s="16">
        <v>1.0</v>
      </c>
    </row>
    <row r="18" spans="8:8">
      <c r="A18" s="16" t="s">
        <v>93</v>
      </c>
      <c r="B18" s="16">
        <v>2.0</v>
      </c>
      <c r="C18" s="16">
        <v>1.0</v>
      </c>
      <c r="D18" s="16">
        <v>1.0</v>
      </c>
    </row>
    <row r="19" spans="8:8">
      <c r="A19" s="16"/>
      <c r="B19" s="16"/>
      <c r="C19" s="16"/>
      <c r="D19" s="16"/>
    </row>
    <row r="20" spans="8:8">
      <c r="A20" s="16"/>
      <c r="B20" s="16"/>
      <c r="C20" s="16"/>
      <c r="D20" s="16"/>
    </row>
    <row r="21" spans="8:8">
      <c r="A21" s="16"/>
      <c r="B21" s="16"/>
      <c r="C21" s="16"/>
      <c r="D21" s="16"/>
    </row>
    <row r="22" spans="8:8">
      <c r="A22" s="16"/>
      <c r="B22" s="16"/>
      <c r="C22" s="16"/>
      <c r="D22" s="16"/>
    </row>
    <row r="23" spans="8:8">
      <c r="A23" s="16"/>
      <c r="B23" s="16"/>
      <c r="C23" s="16"/>
      <c r="D23" s="16"/>
    </row>
    <row r="24" spans="8:8">
      <c r="A24" s="16"/>
      <c r="B24" s="16"/>
      <c r="C24" s="16"/>
      <c r="D24" s="16"/>
    </row>
    <row r="25" spans="8:8">
      <c r="A25" s="16"/>
      <c r="B25" s="16"/>
      <c r="C25" s="16"/>
      <c r="D25" s="16"/>
    </row>
  </sheetData>
  <mergeCells count="1">
    <mergeCell ref="A1:D1"/>
  </mergeCells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D7"/>
  <sheetViews>
    <sheetView workbookViewId="0" topLeftCell="A5">
      <selection activeCell="A1" sqref="A1"/>
    </sheetView>
  </sheetViews>
  <sheetFormatPr defaultRowHeight="15.0" defaultColWidth="10"/>
  <cols>
    <col min="1" max="1" customWidth="1" width="90.0" style="0"/>
  </cols>
  <sheetData>
    <row r="1" spans="8:8">
      <c r="A1" s="18" t="s">
        <v>12</v>
      </c>
    </row>
    <row r="3" spans="8:8">
      <c r="A3" s="19" t="s">
        <v>13</v>
      </c>
    </row>
    <row r="4" spans="8:8">
      <c r="A4" s="19" t="s">
        <v>14</v>
      </c>
    </row>
    <row r="5" spans="8:8">
      <c r="A5" s="19" t="s">
        <v>15</v>
      </c>
    </row>
    <row r="6" spans="8:8">
      <c r="A6" s="19" t="s">
        <v>16</v>
      </c>
    </row>
    <row r="7" spans="8:8">
      <c r="A7" s="19" t="s">
        <v>17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2026-09-30T15:14:37Z</dcterms:created>
  <dcterms:modified xsi:type="dcterms:W3CDTF">2026-10-02T01:22:14Z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de0dc00b280044dbab44258045a1b0be</vt:lpwstr>
  </property>
</Properties>
</file>